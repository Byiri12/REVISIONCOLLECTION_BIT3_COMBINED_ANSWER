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REVISION CORRECTION\"/>
    </mc:Choice>
  </mc:AlternateContent>
  <bookViews>
    <workbookView xWindow="0" yWindow="0" windowWidth="19200" windowHeight="7190"/>
  </bookViews>
  <sheets>
    <sheet name="Sheet1" sheetId="1" r:id="rId1"/>
  </sheets>
  <functionGroups builtInGroupCount="18"/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4" i="1" l="1"/>
  <c r="S22" i="1"/>
  <c r="S20" i="1"/>
  <c r="S18" i="1"/>
  <c r="S16" i="1"/>
  <c r="S14" i="1"/>
  <c r="S12" i="1"/>
  <c r="S10" i="1"/>
  <c r="S7" i="1"/>
  <c r="P24" i="1"/>
  <c r="Q20" i="1"/>
  <c r="R16" i="1"/>
  <c r="O12" i="1"/>
  <c r="P22" i="1"/>
  <c r="Q18" i="1"/>
  <c r="R14" i="1"/>
  <c r="O10" i="1"/>
  <c r="P20" i="1"/>
  <c r="Q16" i="1"/>
  <c r="R12" i="1"/>
  <c r="O7" i="1"/>
  <c r="P18" i="1"/>
  <c r="Q14" i="1"/>
  <c r="R10" i="1"/>
  <c r="P16" i="1"/>
  <c r="Q12" i="1"/>
  <c r="R7" i="1"/>
  <c r="P14" i="1"/>
  <c r="Q10" i="1"/>
  <c r="R5" i="1"/>
  <c r="S5" i="1" s="1"/>
  <c r="P12" i="1"/>
  <c r="Q7" i="1"/>
  <c r="O24" i="1"/>
  <c r="P10" i="1"/>
  <c r="Q5" i="1"/>
  <c r="O22" i="1"/>
  <c r="P7" i="1"/>
  <c r="R24" i="1"/>
  <c r="O20" i="1"/>
  <c r="P5" i="1"/>
  <c r="R22" i="1"/>
  <c r="O18" i="1"/>
  <c r="Q24" i="1"/>
  <c r="R20" i="1"/>
  <c r="O16" i="1"/>
  <c r="Q22" i="1"/>
  <c r="R18" i="1"/>
  <c r="O14" i="1"/>
  <c r="C25" i="1"/>
  <c r="B25" i="1"/>
  <c r="N23" i="1"/>
  <c r="M21" i="1"/>
  <c r="L19" i="1"/>
  <c r="K17" i="1"/>
  <c r="J15" i="1"/>
  <c r="I13" i="1"/>
  <c r="H11" i="1"/>
  <c r="G9" i="1"/>
  <c r="F6" i="1"/>
  <c r="D25" i="1"/>
  <c r="C23" i="1"/>
  <c r="B23" i="1"/>
  <c r="N21" i="1"/>
  <c r="M19" i="1"/>
  <c r="L17" i="1"/>
  <c r="K15" i="1"/>
  <c r="J13" i="1"/>
  <c r="I11" i="1"/>
  <c r="H9" i="1"/>
  <c r="G6" i="1"/>
  <c r="E25" i="1"/>
  <c r="D23" i="1"/>
  <c r="C21" i="1"/>
  <c r="B21" i="1"/>
  <c r="N19" i="1"/>
  <c r="M17" i="1"/>
  <c r="L15" i="1"/>
  <c r="K13" i="1"/>
  <c r="J11" i="1"/>
  <c r="I9" i="1"/>
  <c r="H6" i="1"/>
  <c r="E19" i="1"/>
  <c r="C15" i="1"/>
  <c r="B15" i="1"/>
  <c r="N13" i="1"/>
  <c r="L9" i="1"/>
  <c r="K6" i="1"/>
  <c r="I25" i="1"/>
  <c r="G21" i="1"/>
  <c r="F19" i="1"/>
  <c r="E17" i="1"/>
  <c r="D15" i="1"/>
  <c r="C13" i="1"/>
  <c r="N11" i="1"/>
  <c r="M9" i="1"/>
  <c r="L6" i="1"/>
  <c r="J25" i="1"/>
  <c r="H21" i="1"/>
  <c r="G19" i="1"/>
  <c r="F17" i="1"/>
  <c r="E15" i="1"/>
  <c r="D13" i="1"/>
  <c r="B11" i="1"/>
  <c r="N9" i="1"/>
  <c r="M6" i="1"/>
  <c r="J23" i="1"/>
  <c r="I21" i="1"/>
  <c r="G17" i="1"/>
  <c r="F15" i="1"/>
  <c r="E13" i="1"/>
  <c r="D11" i="1"/>
  <c r="C9" i="1"/>
  <c r="N6" i="1"/>
  <c r="L25" i="1"/>
  <c r="J21" i="1"/>
  <c r="I19" i="1"/>
  <c r="H17" i="1"/>
  <c r="G15" i="1"/>
  <c r="F13" i="1"/>
  <c r="E11" i="1"/>
  <c r="D9" i="1"/>
  <c r="B6" i="1"/>
  <c r="M25" i="1"/>
  <c r="L23" i="1"/>
  <c r="J19" i="1"/>
  <c r="I17" i="1"/>
  <c r="H15" i="1"/>
  <c r="G13" i="1"/>
  <c r="E9" i="1"/>
  <c r="N25" i="1"/>
  <c r="L21" i="1"/>
  <c r="K19" i="1"/>
  <c r="H13" i="1"/>
  <c r="G11" i="1"/>
  <c r="E6" i="1"/>
  <c r="F25" i="1"/>
  <c r="E23" i="1"/>
  <c r="D21" i="1"/>
  <c r="C19" i="1"/>
  <c r="B19" i="1"/>
  <c r="N17" i="1"/>
  <c r="M15" i="1"/>
  <c r="L13" i="1"/>
  <c r="K11" i="1"/>
  <c r="J9" i="1"/>
  <c r="I6" i="1"/>
  <c r="G25" i="1"/>
  <c r="F23" i="1"/>
  <c r="E21" i="1"/>
  <c r="D19" i="1"/>
  <c r="C17" i="1"/>
  <c r="B17" i="1"/>
  <c r="N15" i="1"/>
  <c r="M13" i="1"/>
  <c r="L11" i="1"/>
  <c r="K9" i="1"/>
  <c r="J6" i="1"/>
  <c r="H25" i="1"/>
  <c r="G23" i="1"/>
  <c r="F21" i="1"/>
  <c r="D17" i="1"/>
  <c r="M11" i="1"/>
  <c r="H23" i="1"/>
  <c r="B13" i="1"/>
  <c r="I23" i="1"/>
  <c r="C11" i="1"/>
  <c r="H19" i="1"/>
  <c r="B9" i="1"/>
  <c r="K23" i="1"/>
  <c r="C6" i="1"/>
  <c r="K21" i="1"/>
  <c r="D6" i="1"/>
  <c r="J17" i="1"/>
  <c r="K25" i="1"/>
  <c r="F11" i="1"/>
  <c r="M23" i="1"/>
  <c r="I15" i="1"/>
  <c r="F9" i="1"/>
  <c r="O5" i="1"/>
</calcChain>
</file>

<file path=xl/sharedStrings.xml><?xml version="1.0" encoding="utf-8"?>
<sst xmlns="http://schemas.openxmlformats.org/spreadsheetml/2006/main" count="41" uniqueCount="32">
  <si>
    <t>REPEAT THE YEAR (if the student has failed the modules greater than 30 credits)</t>
  </si>
  <si>
    <t>NAME</t>
  </si>
  <si>
    <t>MATHS1131</t>
  </si>
  <si>
    <t>MECH1121</t>
  </si>
  <si>
    <t>ELE1134</t>
  </si>
  <si>
    <t>PHYS1121</t>
  </si>
  <si>
    <t>CHEM1122</t>
  </si>
  <si>
    <t>ENG1111</t>
  </si>
  <si>
    <t>THERM1221</t>
  </si>
  <si>
    <t>COMP1231</t>
  </si>
  <si>
    <t>ENG1232</t>
  </si>
  <si>
    <t>GE1211</t>
  </si>
  <si>
    <t>STAT1331</t>
  </si>
  <si>
    <t>COMP1331</t>
  </si>
  <si>
    <t>ETH1331</t>
  </si>
  <si>
    <t>Total credits</t>
  </si>
  <si>
    <t xml:space="preserve">Average(%) </t>
  </si>
  <si>
    <t>Failed modules</t>
  </si>
  <si>
    <t>Nbr of credits to retake</t>
  </si>
  <si>
    <t>MARY</t>
  </si>
  <si>
    <t>JOHN</t>
  </si>
  <si>
    <t>PASCAL</t>
  </si>
  <si>
    <t>TEDDY</t>
  </si>
  <si>
    <t>VIVIANE</t>
  </si>
  <si>
    <t>ALICE</t>
  </si>
  <si>
    <t>CLAUDINE</t>
  </si>
  <si>
    <t>GRACE</t>
  </si>
  <si>
    <t>CARINE</t>
  </si>
  <si>
    <t>MARCEL</t>
  </si>
  <si>
    <t>VIOLETE</t>
  </si>
  <si>
    <t>Decision of progress</t>
  </si>
  <si>
    <t>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</si>
</sst>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8"/>
      <color rgb="FF000000"/>
      <name val="Times New Roman"/>
      <family val="1"/>
    </font>
    <font>
      <sz val="8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8"/>
      <color rgb="FF92D050"/>
      <name val="Times New Roman"/>
      <family val="1"/>
    </font>
    <font>
      <b/>
      <sz val="11"/>
      <color rgb="FFFFC00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horizontal="right" vertical="center" textRotation="90"/>
    </xf>
    <xf numFmtId="0" fontId="2" fillId="0" borderId="2" xfId="0" applyFont="1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 textRotation="90" wrapText="1"/>
    </xf>
    <xf numFmtId="0" fontId="2" fillId="3" borderId="2" xfId="0" applyFont="1" applyFill="1" applyBorder="1" applyAlignment="1">
      <alignment horizontal="center" vertical="center" textRotation="90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3" fillId="3" borderId="13" xfId="0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0" fillId="0" borderId="11" xfId="0" applyBorder="1"/>
    <xf numFmtId="0" fontId="0" fillId="0" borderId="12" xfId="0" applyBorder="1"/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4" fillId="0" borderId="12" xfId="0" applyFont="1" applyBorder="1"/>
    <xf numFmtId="0" fontId="4" fillId="0" borderId="11" xfId="0" applyFont="1" applyBorder="1"/>
    <xf numFmtId="0" fontId="0" fillId="0" borderId="8" xfId="0" applyBorder="1"/>
    <xf numFmtId="0" fontId="2" fillId="0" borderId="18" xfId="0" applyFont="1" applyBorder="1" applyAlignment="1">
      <alignment horizontal="center" vertical="center"/>
    </xf>
    <xf numFmtId="0" fontId="0" fillId="0" borderId="19" xfId="0" applyBorder="1"/>
    <xf numFmtId="0" fontId="2" fillId="3" borderId="20" xfId="0" applyFont="1" applyFill="1" applyBorder="1" applyAlignment="1">
      <alignment horizontal="center" vertical="center" textRotation="90" wrapText="1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Border="1" applyAlignment="1">
      <alignment vertical="center"/>
    </xf>
    <xf numFmtId="0" fontId="6" fillId="0" borderId="11" xfId="0" applyFont="1" applyBorder="1"/>
    <xf numFmtId="0" fontId="6" fillId="0" borderId="12" xfId="0" applyFont="1" applyBorder="1"/>
    <xf numFmtId="0" fontId="7" fillId="0" borderId="1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CORRECTEDGP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CORRECTEDGP4"/>
    </sheetNames>
    <definedNames>
      <definedName name="GetGrad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T25"/>
  <sheetViews>
    <sheetView tabSelected="1" topLeftCell="D4" workbookViewId="0">
      <selection activeCell="S20" sqref="S20"/>
    </sheetView>
  </sheetViews>
  <sheetFormatPr defaultRowHeight="14.5" x14ac:dyDescent="0.35"/>
  <cols>
    <col min="17" max="17" width="21.26953125" customWidth="1"/>
    <col min="18" max="18" width="12.7265625" customWidth="1"/>
    <col min="19" max="19" width="32.08984375" customWidth="1"/>
  </cols>
  <sheetData>
    <row r="2" spans="1:20" ht="15" thickBot="1" x14ac:dyDescent="0.4">
      <c r="A2" s="1" t="s">
        <v>0</v>
      </c>
    </row>
    <row r="3" spans="1:20" ht="54" customHeight="1" thickBot="1" x14ac:dyDescent="0.4">
      <c r="A3" s="2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4" t="s">
        <v>8</v>
      </c>
      <c r="I3" s="4" t="s">
        <v>9</v>
      </c>
      <c r="J3" s="4" t="s">
        <v>10</v>
      </c>
      <c r="K3" s="4" t="s">
        <v>11</v>
      </c>
      <c r="L3" s="4" t="s">
        <v>12</v>
      </c>
      <c r="M3" s="4" t="s">
        <v>13</v>
      </c>
      <c r="N3" s="4" t="s">
        <v>14</v>
      </c>
      <c r="O3" s="5" t="s">
        <v>15</v>
      </c>
      <c r="P3" s="5" t="s">
        <v>16</v>
      </c>
      <c r="Q3" s="5" t="s">
        <v>17</v>
      </c>
      <c r="R3" s="34" t="s">
        <v>18</v>
      </c>
      <c r="S3" s="34" t="s">
        <v>30</v>
      </c>
    </row>
    <row r="4" spans="1:20" ht="15" thickBot="1" x14ac:dyDescent="0.4">
      <c r="A4" s="6"/>
      <c r="B4" s="7">
        <v>15</v>
      </c>
      <c r="C4" s="7">
        <v>10</v>
      </c>
      <c r="D4" s="7">
        <v>10</v>
      </c>
      <c r="E4" s="7">
        <v>15</v>
      </c>
      <c r="F4" s="7">
        <v>15</v>
      </c>
      <c r="G4" s="7">
        <v>15</v>
      </c>
      <c r="H4" s="7">
        <v>15</v>
      </c>
      <c r="I4" s="7">
        <v>10</v>
      </c>
      <c r="J4" s="7">
        <v>10</v>
      </c>
      <c r="K4" s="7">
        <v>10</v>
      </c>
      <c r="L4" s="7">
        <v>10</v>
      </c>
      <c r="M4" s="7">
        <v>15</v>
      </c>
      <c r="N4" s="7">
        <v>10</v>
      </c>
      <c r="O4" s="7">
        <v>160</v>
      </c>
      <c r="P4" s="8"/>
      <c r="Q4" s="8"/>
      <c r="R4" s="20"/>
      <c r="S4" s="25"/>
    </row>
    <row r="5" spans="1:20" ht="15" thickBot="1" x14ac:dyDescent="0.4">
      <c r="A5" s="6" t="s">
        <v>19</v>
      </c>
      <c r="B5" s="7">
        <v>72</v>
      </c>
      <c r="C5" s="7">
        <v>87</v>
      </c>
      <c r="D5" s="7">
        <v>84</v>
      </c>
      <c r="E5" s="7">
        <v>86</v>
      </c>
      <c r="F5" s="7">
        <v>89</v>
      </c>
      <c r="G5" s="7">
        <v>70</v>
      </c>
      <c r="H5" s="7">
        <v>69</v>
      </c>
      <c r="I5" s="7">
        <v>70</v>
      </c>
      <c r="J5" s="7">
        <v>90</v>
      </c>
      <c r="K5" s="7">
        <v>82</v>
      </c>
      <c r="L5" s="7">
        <v>83</v>
      </c>
      <c r="M5" s="7">
        <v>77</v>
      </c>
      <c r="N5" s="7">
        <v>79</v>
      </c>
      <c r="O5" s="9">
        <f>TotalCredits(B5:N5,B4:N4)</f>
        <v>160</v>
      </c>
      <c r="P5" s="9">
        <f>AnnualAverage(B5:N5,B4:N4)</f>
        <v>79.34375</v>
      </c>
      <c r="Q5" s="10" t="str">
        <f>FailedModules(B5:N5,B3:N3)</f>
        <v>None</v>
      </c>
      <c r="R5" s="21">
        <f>CreditsToRetake(B5:N5,B4:N4)</f>
        <v>0</v>
      </c>
      <c r="S5" s="30" t="str">
        <f>DeliberationDecision(R5)</f>
        <v>PROGRESS</v>
      </c>
    </row>
    <row r="6" spans="1:20" ht="15" thickBot="1" x14ac:dyDescent="0.4">
      <c r="A6" s="39" t="s">
        <v>31</v>
      </c>
      <c r="B6" s="35" t="str">
        <f>[1]!GetGrade(B5)</f>
        <v>C</v>
      </c>
      <c r="C6" s="35" t="str">
        <f>[1]!GetGrade(C5)</f>
        <v>B</v>
      </c>
      <c r="D6" s="35" t="str">
        <f>[1]!GetGrade(D5)</f>
        <v>B</v>
      </c>
      <c r="E6" s="35" t="str">
        <f>[1]!GetGrade(E5)</f>
        <v>B</v>
      </c>
      <c r="F6" s="35" t="str">
        <f>[1]!GetGrade(F5)</f>
        <v>B</v>
      </c>
      <c r="G6" s="35" t="str">
        <f>[1]!GetGrade(G5)</f>
        <v>C</v>
      </c>
      <c r="H6" s="35" t="str">
        <f>[1]!GetGrade(H5)</f>
        <v>D</v>
      </c>
      <c r="I6" s="35" t="str">
        <f>[1]!GetGrade(I5)</f>
        <v>C</v>
      </c>
      <c r="J6" s="35" t="str">
        <f>[1]!GetGrade(J5)</f>
        <v>A</v>
      </c>
      <c r="K6" s="35" t="str">
        <f>[1]!GetGrade(K5)</f>
        <v>B</v>
      </c>
      <c r="L6" s="35" t="str">
        <f>[1]!GetGrade(L5)</f>
        <v>B</v>
      </c>
      <c r="M6" s="35" t="str">
        <f>[1]!GetGrade(M5)</f>
        <v>C</v>
      </c>
      <c r="N6" s="35" t="str">
        <f>[1]!GetGrade(N5)</f>
        <v>C</v>
      </c>
      <c r="O6" s="9"/>
      <c r="P6" s="9"/>
      <c r="Q6" s="10"/>
      <c r="R6" s="21"/>
      <c r="S6" s="26"/>
      <c r="T6" s="33"/>
    </row>
    <row r="7" spans="1:20" ht="15" thickBot="1" x14ac:dyDescent="0.4">
      <c r="A7" s="11" t="s">
        <v>20</v>
      </c>
      <c r="B7" s="7">
        <v>76</v>
      </c>
      <c r="C7" s="7">
        <v>72</v>
      </c>
      <c r="D7" s="7">
        <v>70</v>
      </c>
      <c r="E7" s="7">
        <v>27</v>
      </c>
      <c r="F7" s="7">
        <v>54</v>
      </c>
      <c r="G7" s="7">
        <v>65</v>
      </c>
      <c r="H7" s="7">
        <v>38</v>
      </c>
      <c r="I7" s="7">
        <v>76</v>
      </c>
      <c r="J7" s="7">
        <v>79</v>
      </c>
      <c r="K7" s="7">
        <v>86</v>
      </c>
      <c r="L7" s="7">
        <v>85</v>
      </c>
      <c r="M7" s="7">
        <v>73</v>
      </c>
      <c r="N7" s="7">
        <v>62</v>
      </c>
      <c r="O7" s="9">
        <f>TotalCredits(B7:N7,B4:N4)</f>
        <v>130</v>
      </c>
      <c r="P7" s="9">
        <f>AnnualAverage(B7:N7,B4:N4)</f>
        <v>64.34375</v>
      </c>
      <c r="Q7" s="10" t="str">
        <f>FailedModules(B7:N7,B3:N3)</f>
        <v>PHYS1121, THERM1221</v>
      </c>
      <c r="R7" s="21">
        <f>CreditsToRetake(B7:N7,B4:N4)</f>
        <v>30</v>
      </c>
      <c r="S7" s="40" t="str">
        <f>DeliberationDecision(R7)</f>
        <v>PROGRESS WITH RETAKE(S)</v>
      </c>
    </row>
    <row r="8" spans="1:20" ht="15" hidden="1" thickBot="1" x14ac:dyDescent="0.4">
      <c r="A8" s="6" t="s">
        <v>21</v>
      </c>
      <c r="B8" s="8">
        <v>89</v>
      </c>
      <c r="C8" s="8">
        <v>68</v>
      </c>
      <c r="D8" s="8">
        <v>75</v>
      </c>
      <c r="E8" s="8">
        <v>53</v>
      </c>
      <c r="F8" s="8">
        <v>82</v>
      </c>
      <c r="G8" s="8">
        <v>79</v>
      </c>
      <c r="H8" s="8">
        <v>59</v>
      </c>
      <c r="I8" s="8">
        <v>32</v>
      </c>
      <c r="J8" s="8">
        <v>89</v>
      </c>
      <c r="K8" s="8">
        <v>83</v>
      </c>
      <c r="L8" s="8">
        <v>81</v>
      </c>
      <c r="M8" s="8">
        <v>74</v>
      </c>
      <c r="N8" s="8">
        <v>71</v>
      </c>
      <c r="O8" s="9"/>
      <c r="P8" s="10"/>
      <c r="Q8" s="10"/>
      <c r="R8" s="20"/>
      <c r="S8" s="31"/>
    </row>
    <row r="9" spans="1:20" ht="15" thickBot="1" x14ac:dyDescent="0.4">
      <c r="A9" s="39" t="s">
        <v>31</v>
      </c>
      <c r="B9" s="35" t="str">
        <f>[1]!GetGrade(B7)</f>
        <v>C</v>
      </c>
      <c r="C9" s="35" t="str">
        <f>[1]!GetGrade(C7)</f>
        <v>C</v>
      </c>
      <c r="D9" s="35" t="str">
        <f>[1]!GetGrade(D7)</f>
        <v>C</v>
      </c>
      <c r="E9" s="35" t="str">
        <f>[1]!GetGrade(E7)</f>
        <v>F</v>
      </c>
      <c r="F9" s="35" t="str">
        <f>[1]!GetGrade(F7)</f>
        <v>E</v>
      </c>
      <c r="G9" s="35" t="str">
        <f>[1]!GetGrade(G7)</f>
        <v>D</v>
      </c>
      <c r="H9" s="35" t="str">
        <f>[1]!GetGrade(H7)</f>
        <v>F</v>
      </c>
      <c r="I9" s="35" t="str">
        <f>[1]!GetGrade(I7)</f>
        <v>C</v>
      </c>
      <c r="J9" s="35" t="str">
        <f>[1]!GetGrade(J7)</f>
        <v>C</v>
      </c>
      <c r="K9" s="35" t="str">
        <f>[1]!GetGrade(K7)</f>
        <v>B</v>
      </c>
      <c r="L9" s="35" t="str">
        <f>[1]!GetGrade(L7)</f>
        <v>B</v>
      </c>
      <c r="M9" s="35" t="str">
        <f>[1]!GetGrade(M7)</f>
        <v>C</v>
      </c>
      <c r="N9" s="35" t="str">
        <f>[1]!GetGrade(N7)</f>
        <v>E</v>
      </c>
      <c r="O9" s="9"/>
      <c r="P9" s="10"/>
      <c r="Q9" s="10"/>
      <c r="R9" s="20"/>
      <c r="S9" s="29"/>
    </row>
    <row r="10" spans="1:20" ht="15" thickBot="1" x14ac:dyDescent="0.4">
      <c r="A10" s="11" t="s">
        <v>22</v>
      </c>
      <c r="B10" s="7">
        <v>45</v>
      </c>
      <c r="C10" s="7">
        <v>76</v>
      </c>
      <c r="D10" s="7">
        <v>39</v>
      </c>
      <c r="E10" s="7">
        <v>56</v>
      </c>
      <c r="F10" s="7">
        <v>83</v>
      </c>
      <c r="G10" s="7">
        <v>70</v>
      </c>
      <c r="H10" s="7">
        <v>56</v>
      </c>
      <c r="I10" s="7">
        <v>56</v>
      </c>
      <c r="J10" s="7">
        <v>91</v>
      </c>
      <c r="K10" s="7">
        <v>82</v>
      </c>
      <c r="L10" s="7">
        <v>85</v>
      </c>
      <c r="M10" s="7">
        <v>73</v>
      </c>
      <c r="N10" s="7">
        <v>72</v>
      </c>
      <c r="O10" s="9">
        <f>TotalCredits(B10:N10,B4:N4)</f>
        <v>135</v>
      </c>
      <c r="P10" s="9">
        <f>AnnualAverage(B10:N10,B4:N4)</f>
        <v>67.21875</v>
      </c>
      <c r="Q10" s="10" t="str">
        <f>FailedModules(B10:N10,B3:N3)</f>
        <v>MATHS1131, ELE1134</v>
      </c>
      <c r="R10" s="21">
        <f>CreditsToRetake(B10:N10,B4:N4)</f>
        <v>25</v>
      </c>
      <c r="S10" s="41" t="str">
        <f>DeliberationDecision(R10)</f>
        <v>PROGRESS WITH RETAKE(S)</v>
      </c>
    </row>
    <row r="11" spans="1:20" ht="15" thickBot="1" x14ac:dyDescent="0.4">
      <c r="A11" s="39" t="s">
        <v>31</v>
      </c>
      <c r="B11" s="35" t="str">
        <f>[1]!GetGrade(B10)</f>
        <v>F</v>
      </c>
      <c r="C11" s="35" t="str">
        <f>[1]!GetGrade(C10)</f>
        <v>C</v>
      </c>
      <c r="D11" s="35" t="str">
        <f>[1]!GetGrade(D10)</f>
        <v>F</v>
      </c>
      <c r="E11" s="35" t="str">
        <f>[1]!GetGrade(E10)</f>
        <v>E</v>
      </c>
      <c r="F11" s="35" t="str">
        <f>[1]!GetGrade(F10)</f>
        <v>B</v>
      </c>
      <c r="G11" s="35" t="str">
        <f>[1]!GetGrade(G10)</f>
        <v>C</v>
      </c>
      <c r="H11" s="35" t="str">
        <f>[1]!GetGrade(H10)</f>
        <v>E</v>
      </c>
      <c r="I11" s="35" t="str">
        <f>[1]!GetGrade(I10)</f>
        <v>E</v>
      </c>
      <c r="J11" s="35" t="str">
        <f>[1]!GetGrade(J10)</f>
        <v>A</v>
      </c>
      <c r="K11" s="35" t="str">
        <f>[1]!GetGrade(K10)</f>
        <v>B</v>
      </c>
      <c r="L11" s="35" t="str">
        <f>[1]!GetGrade(L10)</f>
        <v>B</v>
      </c>
      <c r="M11" s="35" t="str">
        <f>[1]!GetGrade(M10)</f>
        <v>C</v>
      </c>
      <c r="N11" s="35" t="str">
        <f>[1]!GetGrade(N10)</f>
        <v>C</v>
      </c>
      <c r="O11" s="9"/>
      <c r="P11" s="9"/>
      <c r="Q11" s="10"/>
      <c r="R11" s="21"/>
      <c r="S11" s="29"/>
    </row>
    <row r="12" spans="1:20" ht="15" thickBot="1" x14ac:dyDescent="0.4">
      <c r="A12" s="6" t="s">
        <v>23</v>
      </c>
      <c r="B12" s="7">
        <v>84</v>
      </c>
      <c r="C12" s="7">
        <v>87</v>
      </c>
      <c r="D12" s="7">
        <v>82</v>
      </c>
      <c r="E12" s="7">
        <v>89</v>
      </c>
      <c r="F12" s="7">
        <v>87</v>
      </c>
      <c r="G12" s="7">
        <v>82</v>
      </c>
      <c r="H12" s="7">
        <v>81</v>
      </c>
      <c r="I12" s="7">
        <v>80</v>
      </c>
      <c r="J12" s="7">
        <v>90</v>
      </c>
      <c r="K12" s="7">
        <v>83</v>
      </c>
      <c r="L12" s="7">
        <v>84</v>
      </c>
      <c r="M12" s="7">
        <v>81</v>
      </c>
      <c r="N12" s="7">
        <v>80</v>
      </c>
      <c r="O12" s="9">
        <f>TotalCredits(B12:N12,B4:N4)</f>
        <v>160</v>
      </c>
      <c r="P12" s="10">
        <f>AnnualAverage(B12:N12,B4:N4)</f>
        <v>83.875</v>
      </c>
      <c r="Q12" s="10" t="str">
        <f>FailedModules(B12:N12,B3:N3)</f>
        <v>None</v>
      </c>
      <c r="R12" s="20">
        <f>CreditsToRetake(B12:N12,B4:N4)</f>
        <v>0</v>
      </c>
      <c r="S12" s="29" t="str">
        <f>DeliberationDecision(R12)</f>
        <v>PROGRESS</v>
      </c>
    </row>
    <row r="13" spans="1:20" ht="15" thickBot="1" x14ac:dyDescent="0.4">
      <c r="A13" s="39" t="s">
        <v>31</v>
      </c>
      <c r="B13" s="35" t="str">
        <f>[1]!GetGrade(B12)</f>
        <v>B</v>
      </c>
      <c r="C13" s="35" t="str">
        <f>[1]!GetGrade(C12)</f>
        <v>B</v>
      </c>
      <c r="D13" s="35" t="str">
        <f>[1]!GetGrade(D12)</f>
        <v>B</v>
      </c>
      <c r="E13" s="35" t="str">
        <f>[1]!GetGrade(E12)</f>
        <v>B</v>
      </c>
      <c r="F13" s="36" t="str">
        <f>[1]!GetGrade(F12)</f>
        <v>B</v>
      </c>
      <c r="G13" s="35" t="str">
        <f>[1]!GetGrade(G12)</f>
        <v>B</v>
      </c>
      <c r="H13" s="35" t="str">
        <f>[1]!GetGrade(H12)</f>
        <v>B</v>
      </c>
      <c r="I13" s="35" t="str">
        <f>[1]!GetGrade(I12)</f>
        <v>B</v>
      </c>
      <c r="J13" s="35" t="str">
        <f>[1]!GetGrade(J12)</f>
        <v>A</v>
      </c>
      <c r="K13" s="35" t="str">
        <f>[1]!GetGrade(K12)</f>
        <v>B</v>
      </c>
      <c r="L13" s="35" t="str">
        <f>[1]!GetGrade(L12)</f>
        <v>B</v>
      </c>
      <c r="M13" s="35" t="str">
        <f>[1]!GetGrade(M12)</f>
        <v>B</v>
      </c>
      <c r="N13" s="35" t="str">
        <f>[1]!GetGrade(N12)</f>
        <v>B</v>
      </c>
      <c r="O13" s="9"/>
      <c r="P13" s="10"/>
      <c r="Q13" s="10"/>
      <c r="R13" s="20"/>
      <c r="S13" s="29"/>
    </row>
    <row r="14" spans="1:20" ht="15" thickBot="1" x14ac:dyDescent="0.4">
      <c r="A14" s="11" t="s">
        <v>24</v>
      </c>
      <c r="B14" s="7">
        <v>73</v>
      </c>
      <c r="C14" s="7">
        <v>62</v>
      </c>
      <c r="D14" s="7">
        <v>53</v>
      </c>
      <c r="E14" s="7">
        <v>52</v>
      </c>
      <c r="F14" s="32">
        <v>41</v>
      </c>
      <c r="G14" s="7">
        <v>45</v>
      </c>
      <c r="H14" s="7">
        <v>53</v>
      </c>
      <c r="I14" s="7">
        <v>80</v>
      </c>
      <c r="J14" s="7">
        <v>27</v>
      </c>
      <c r="K14" s="7">
        <v>81</v>
      </c>
      <c r="L14" s="7">
        <v>85</v>
      </c>
      <c r="M14" s="7">
        <v>75</v>
      </c>
      <c r="N14" s="7">
        <v>75</v>
      </c>
      <c r="O14" s="9">
        <f>TotalCredits(B14:N14,B4:N4)</f>
        <v>120</v>
      </c>
      <c r="P14" s="9">
        <f>AnnualAverage(B14:N14,B4:N4)</f>
        <v>60.71875</v>
      </c>
      <c r="Q14" s="10" t="str">
        <f>FailedModules(B14:N14,B3:N3)</f>
        <v>CHEM1122, ENG1111, ENG1232</v>
      </c>
      <c r="R14" s="21">
        <f>CreditsToRetake(B14:N14,B4:N4)</f>
        <v>40</v>
      </c>
      <c r="S14" s="42" t="str">
        <f>DeliberationDecision(R14)</f>
        <v>REPEAT THE YEAR</v>
      </c>
    </row>
    <row r="15" spans="1:20" ht="15" thickBot="1" x14ac:dyDescent="0.4">
      <c r="A15" s="39" t="s">
        <v>31</v>
      </c>
      <c r="B15" s="35" t="str">
        <f>[1]!GetGrade(B14)</f>
        <v>C</v>
      </c>
      <c r="C15" s="35" t="str">
        <f>[1]!GetGrade(C14)</f>
        <v>E</v>
      </c>
      <c r="D15" s="35" t="str">
        <f>[1]!GetGrade(D14)</f>
        <v>E</v>
      </c>
      <c r="E15" s="35" t="str">
        <f>[1]!GetGrade(E14)</f>
        <v>E</v>
      </c>
      <c r="F15" s="35" t="str">
        <f>[1]!GetGrade(F14)</f>
        <v>F</v>
      </c>
      <c r="G15" s="35" t="str">
        <f>[1]!GetGrade(G14)</f>
        <v>F</v>
      </c>
      <c r="H15" s="35" t="str">
        <f>[1]!GetGrade(H14)</f>
        <v>E</v>
      </c>
      <c r="I15" s="35" t="str">
        <f>[1]!GetGrade(I14)</f>
        <v>B</v>
      </c>
      <c r="J15" s="35" t="str">
        <f>[1]!GetGrade(J14)</f>
        <v>F</v>
      </c>
      <c r="K15" s="35" t="str">
        <f>[1]!GetGrade(K14)</f>
        <v>B</v>
      </c>
      <c r="L15" s="35" t="str">
        <f>[1]!GetGrade(L14)</f>
        <v>B</v>
      </c>
      <c r="M15" s="35" t="str">
        <f>[1]!GetGrade(M14)</f>
        <v>C</v>
      </c>
      <c r="N15" s="35" t="str">
        <f>[1]!GetGrade(N14)</f>
        <v>C</v>
      </c>
      <c r="O15" s="9"/>
      <c r="P15" s="9"/>
      <c r="Q15" s="10"/>
      <c r="R15" s="21"/>
      <c r="S15" s="30"/>
    </row>
    <row r="16" spans="1:20" ht="15" thickBot="1" x14ac:dyDescent="0.4">
      <c r="A16" s="6" t="s">
        <v>25</v>
      </c>
      <c r="B16" s="7">
        <v>90</v>
      </c>
      <c r="C16" s="7">
        <v>90</v>
      </c>
      <c r="D16" s="7">
        <v>74</v>
      </c>
      <c r="E16" s="7">
        <v>93</v>
      </c>
      <c r="F16" s="7">
        <v>82</v>
      </c>
      <c r="G16" s="7">
        <v>76</v>
      </c>
      <c r="H16" s="7">
        <v>73</v>
      </c>
      <c r="I16" s="7">
        <v>75</v>
      </c>
      <c r="J16" s="7">
        <v>92</v>
      </c>
      <c r="K16" s="7">
        <v>75</v>
      </c>
      <c r="L16" s="7">
        <v>76</v>
      </c>
      <c r="M16" s="7">
        <v>73</v>
      </c>
      <c r="N16" s="7">
        <v>79</v>
      </c>
      <c r="O16" s="9">
        <f>TotalCredits(B16:N16,B4:N4)</f>
        <v>160</v>
      </c>
      <c r="P16" s="10">
        <f>AnnualAverage(B16:N16,B4:N4)</f>
        <v>80.71875</v>
      </c>
      <c r="Q16" s="10" t="str">
        <f>FailedModules(B16:N16,B3:N3)</f>
        <v>None</v>
      </c>
      <c r="R16" s="27">
        <f>CreditsToRetake(B16:N16,B4:N4)</f>
        <v>0</v>
      </c>
      <c r="S16" s="29" t="str">
        <f>DeliberationDecision(R16)</f>
        <v>PROGRESS</v>
      </c>
    </row>
    <row r="17" spans="1:19" ht="15" thickBot="1" x14ac:dyDescent="0.4">
      <c r="A17" s="39" t="s">
        <v>31</v>
      </c>
      <c r="B17" s="35" t="str">
        <f>[1]!GetGrade(B16)</f>
        <v>A</v>
      </c>
      <c r="C17" s="35" t="str">
        <f>[1]!GetGrade(C16)</f>
        <v>A</v>
      </c>
      <c r="D17" s="35" t="str">
        <f>[1]!GetGrade(D16)</f>
        <v>C</v>
      </c>
      <c r="E17" s="35" t="str">
        <f>[1]!GetGrade(E16)</f>
        <v>A</v>
      </c>
      <c r="F17" s="35" t="str">
        <f>[1]!GetGrade(F16)</f>
        <v>B</v>
      </c>
      <c r="G17" s="35" t="str">
        <f>[1]!GetGrade(G16)</f>
        <v>C</v>
      </c>
      <c r="H17" s="35" t="str">
        <f>[1]!GetGrade(H16)</f>
        <v>C</v>
      </c>
      <c r="I17" s="35" t="str">
        <f>[1]!GetGrade(I16)</f>
        <v>C</v>
      </c>
      <c r="J17" s="35" t="str">
        <f>[1]!GetGrade(J16)</f>
        <v>A</v>
      </c>
      <c r="K17" s="35" t="str">
        <f>[1]!GetGrade(K16)</f>
        <v>C</v>
      </c>
      <c r="L17" s="35" t="str">
        <f>[1]!GetGrade(L16)</f>
        <v>C</v>
      </c>
      <c r="M17" s="35" t="str">
        <f>[1]!GetGrade(M16)</f>
        <v>C</v>
      </c>
      <c r="N17" s="35" t="str">
        <f>[1]!GetGrade(N16)</f>
        <v>C</v>
      </c>
      <c r="O17" s="9"/>
      <c r="P17" s="10"/>
      <c r="Q17" s="10"/>
      <c r="R17" s="28"/>
      <c r="S17" s="29"/>
    </row>
    <row r="18" spans="1:19" ht="15" thickBot="1" x14ac:dyDescent="0.4">
      <c r="A18" s="11" t="s">
        <v>26</v>
      </c>
      <c r="B18" s="7">
        <v>85</v>
      </c>
      <c r="C18" s="7">
        <v>82</v>
      </c>
      <c r="D18" s="7">
        <v>68</v>
      </c>
      <c r="E18" s="7">
        <v>73</v>
      </c>
      <c r="F18" s="7">
        <v>86</v>
      </c>
      <c r="G18" s="7">
        <v>72</v>
      </c>
      <c r="H18" s="7">
        <v>54</v>
      </c>
      <c r="I18" s="7">
        <v>78</v>
      </c>
      <c r="J18" s="7">
        <v>86</v>
      </c>
      <c r="K18" s="7">
        <v>83</v>
      </c>
      <c r="L18" s="7">
        <v>81</v>
      </c>
      <c r="M18" s="7">
        <v>77</v>
      </c>
      <c r="N18" s="7">
        <v>71</v>
      </c>
      <c r="O18" s="9">
        <f>TotalCredits(B18:N18,B4:N4)</f>
        <v>160</v>
      </c>
      <c r="P18" s="9">
        <f>AnnualAverage(B18:N18,B4:N4)</f>
        <v>76.21875</v>
      </c>
      <c r="Q18" s="10" t="str">
        <f>FailedModules(B18:N18,B3:N3)</f>
        <v>None</v>
      </c>
      <c r="R18" s="21">
        <f>CreditsToRetake(B18:N18,B4:N4)</f>
        <v>0</v>
      </c>
      <c r="S18" s="29" t="str">
        <f>DeliberationDecision(R18)</f>
        <v>PROGRESS</v>
      </c>
    </row>
    <row r="19" spans="1:19" ht="15" thickBot="1" x14ac:dyDescent="0.4">
      <c r="A19" s="39" t="s">
        <v>31</v>
      </c>
      <c r="B19" s="35" t="str">
        <f>[1]!GetGrade(B18)</f>
        <v>B</v>
      </c>
      <c r="C19" s="35" t="str">
        <f>[1]!GetGrade(C18)</f>
        <v>B</v>
      </c>
      <c r="D19" s="35" t="str">
        <f>[1]!GetGrade(D18)</f>
        <v>D</v>
      </c>
      <c r="E19" s="35" t="str">
        <f>[1]!GetGrade(E18)</f>
        <v>C</v>
      </c>
      <c r="F19" s="35" t="str">
        <f>[1]!GetGrade(F18)</f>
        <v>B</v>
      </c>
      <c r="G19" s="35" t="str">
        <f>[1]!GetGrade(G18)</f>
        <v>C</v>
      </c>
      <c r="H19" s="35" t="str">
        <f>[1]!GetGrade(H18)</f>
        <v>E</v>
      </c>
      <c r="I19" s="35" t="str">
        <f>[1]!GetGrade(I18)</f>
        <v>C</v>
      </c>
      <c r="J19" s="35" t="str">
        <f>[1]!GetGrade(J18)</f>
        <v>B</v>
      </c>
      <c r="K19" s="35" t="str">
        <f>[1]!GetGrade(K18)</f>
        <v>B</v>
      </c>
      <c r="L19" s="35" t="str">
        <f>[1]!GetGrade(L18)</f>
        <v>B</v>
      </c>
      <c r="M19" s="35" t="str">
        <f>[1]!GetGrade(M18)</f>
        <v>C</v>
      </c>
      <c r="N19" s="35" t="str">
        <f>[1]!GetGrade(N18)</f>
        <v>C</v>
      </c>
      <c r="O19" s="9"/>
      <c r="P19" s="9"/>
      <c r="Q19" s="10"/>
      <c r="R19" s="21"/>
      <c r="S19" s="30"/>
    </row>
    <row r="20" spans="1:19" ht="15" thickBot="1" x14ac:dyDescent="0.4">
      <c r="A20" s="6" t="s">
        <v>27</v>
      </c>
      <c r="B20" s="7">
        <v>87</v>
      </c>
      <c r="C20" s="7">
        <v>82</v>
      </c>
      <c r="D20" s="7">
        <v>47</v>
      </c>
      <c r="E20" s="7">
        <v>83</v>
      </c>
      <c r="F20" s="7">
        <v>81</v>
      </c>
      <c r="G20" s="7">
        <v>76</v>
      </c>
      <c r="H20" s="7">
        <v>83</v>
      </c>
      <c r="I20" s="7">
        <v>70</v>
      </c>
      <c r="J20" s="7">
        <v>82</v>
      </c>
      <c r="K20" s="7">
        <v>89</v>
      </c>
      <c r="L20" s="7">
        <v>92</v>
      </c>
      <c r="M20" s="7">
        <v>79</v>
      </c>
      <c r="N20" s="7">
        <v>63</v>
      </c>
      <c r="O20" s="9">
        <f>TotalCredits(B20:N20,B4:N4)</f>
        <v>150</v>
      </c>
      <c r="P20" s="9">
        <f>AnnualAverage(B20:N20,B4:N4)</f>
        <v>78.65625</v>
      </c>
      <c r="Q20" s="9" t="str">
        <f>FailedModules(B20:N20,B3:N3)</f>
        <v>ELE1134</v>
      </c>
      <c r="R20" s="27">
        <f>CreditsToRetake(B20:N20,B4:N4)</f>
        <v>10</v>
      </c>
      <c r="S20" s="41" t="str">
        <f>DeliberationDecision(R20)</f>
        <v>PROGRESS WITH RETAKE(S)</v>
      </c>
    </row>
    <row r="21" spans="1:19" ht="15" thickBot="1" x14ac:dyDescent="0.4">
      <c r="A21" s="39" t="s">
        <v>31</v>
      </c>
      <c r="B21" s="35" t="str">
        <f>[1]!GetGrade(B20)</f>
        <v>B</v>
      </c>
      <c r="C21" s="35" t="str">
        <f>[1]!GetGrade(C20)</f>
        <v>B</v>
      </c>
      <c r="D21" s="35" t="str">
        <f>[1]!GetGrade(D20)</f>
        <v>F</v>
      </c>
      <c r="E21" s="35" t="str">
        <f>[1]!GetGrade(E20)</f>
        <v>B</v>
      </c>
      <c r="F21" s="35" t="str">
        <f>[1]!GetGrade(F20)</f>
        <v>B</v>
      </c>
      <c r="G21" s="35" t="str">
        <f>[1]!GetGrade(G20)</f>
        <v>C</v>
      </c>
      <c r="H21" s="35" t="str">
        <f>[1]!GetGrade(H20)</f>
        <v>B</v>
      </c>
      <c r="I21" s="35" t="str">
        <f>[1]!GetGrade(I20)</f>
        <v>C</v>
      </c>
      <c r="J21" s="35" t="str">
        <f>[1]!GetGrade(J20)</f>
        <v>B</v>
      </c>
      <c r="K21" s="35" t="str">
        <f>[1]!GetGrade(K20)</f>
        <v>B</v>
      </c>
      <c r="L21" s="35" t="str">
        <f>[1]!GetGrade(L20)</f>
        <v>A</v>
      </c>
      <c r="M21" s="35" t="str">
        <f>[1]!GetGrade(M20)</f>
        <v>C</v>
      </c>
      <c r="N21" s="35" t="str">
        <f>[1]!GetGrade(N20)</f>
        <v>D</v>
      </c>
      <c r="O21" s="9"/>
      <c r="P21" s="9"/>
      <c r="Q21" s="9"/>
      <c r="R21" s="28"/>
      <c r="S21" s="29"/>
    </row>
    <row r="22" spans="1:19" ht="15" thickBot="1" x14ac:dyDescent="0.4">
      <c r="A22" s="6" t="s">
        <v>28</v>
      </c>
      <c r="B22" s="7">
        <v>95</v>
      </c>
      <c r="C22" s="7">
        <v>82</v>
      </c>
      <c r="D22" s="7">
        <v>90</v>
      </c>
      <c r="E22" s="7">
        <v>72</v>
      </c>
      <c r="F22" s="7">
        <v>83</v>
      </c>
      <c r="G22" s="7">
        <v>78</v>
      </c>
      <c r="H22" s="7">
        <v>81</v>
      </c>
      <c r="I22" s="7">
        <v>67</v>
      </c>
      <c r="J22" s="7">
        <v>78</v>
      </c>
      <c r="K22" s="7">
        <v>82</v>
      </c>
      <c r="L22" s="7">
        <v>70</v>
      </c>
      <c r="M22" s="7">
        <v>70</v>
      </c>
      <c r="N22" s="7">
        <v>69</v>
      </c>
      <c r="O22" s="9">
        <f>TotalCredits(B22:N22,B4:N4)</f>
        <v>160</v>
      </c>
      <c r="P22" s="9">
        <f>AnnualAverage(B22:N22,B4:N4)</f>
        <v>78.53125</v>
      </c>
      <c r="Q22" s="9" t="str">
        <f>FailedModules(B22:N22,E3:N3)</f>
        <v>None</v>
      </c>
      <c r="R22" s="28">
        <f>CreditsToRetake(B22:N22,B4:N4)</f>
        <v>0</v>
      </c>
      <c r="S22" s="30" t="str">
        <f>DeliberationDecision(R22)</f>
        <v>PROGRESS</v>
      </c>
    </row>
    <row r="23" spans="1:19" ht="15" thickBot="1" x14ac:dyDescent="0.4">
      <c r="A23" s="39" t="s">
        <v>31</v>
      </c>
      <c r="B23" s="36" t="str">
        <f>[1]!GetGrade(B22)</f>
        <v>A</v>
      </c>
      <c r="C23" s="36" t="str">
        <f>[1]!GetGrade(C22)</f>
        <v>B</v>
      </c>
      <c r="D23" s="36" t="str">
        <f>[1]!GetGrade(D22)</f>
        <v>A</v>
      </c>
      <c r="E23" s="36" t="str">
        <f>[1]!GetGrade(E22)</f>
        <v>C</v>
      </c>
      <c r="F23" s="36" t="str">
        <f>[1]!GetGrade(F22)</f>
        <v>B</v>
      </c>
      <c r="G23" s="36" t="str">
        <f>[1]!GetGrade(G22)</f>
        <v>C</v>
      </c>
      <c r="H23" s="36" t="str">
        <f>[1]!GetGrade(H22)</f>
        <v>B</v>
      </c>
      <c r="I23" s="36" t="str">
        <f>[1]!GetGrade(I22)</f>
        <v>D</v>
      </c>
      <c r="J23" s="36" t="str">
        <f>[1]!GetGrade(J22)</f>
        <v>C</v>
      </c>
      <c r="K23" s="36" t="str">
        <f>[1]!GetGrade(K22)</f>
        <v>B</v>
      </c>
      <c r="L23" s="36" t="str">
        <f>[1]!GetGrade(L22)</f>
        <v>C</v>
      </c>
      <c r="M23" s="36" t="str">
        <f>[1]!GetGrade(M22)</f>
        <v>C</v>
      </c>
      <c r="N23" s="36" t="str">
        <f>[1]!GetGrade(N22)</f>
        <v>D</v>
      </c>
      <c r="O23" s="12"/>
      <c r="P23" s="12"/>
      <c r="Q23" s="12"/>
      <c r="R23" s="22"/>
      <c r="S23" s="29"/>
    </row>
    <row r="24" spans="1:19" ht="15" thickBot="1" x14ac:dyDescent="0.4">
      <c r="A24" s="17" t="s">
        <v>29</v>
      </c>
      <c r="B24" s="18">
        <v>56</v>
      </c>
      <c r="C24" s="18">
        <v>82</v>
      </c>
      <c r="D24" s="19">
        <v>76</v>
      </c>
      <c r="E24" s="18">
        <v>59</v>
      </c>
      <c r="F24" s="18">
        <v>87</v>
      </c>
      <c r="G24" s="18">
        <v>82</v>
      </c>
      <c r="H24" s="18">
        <v>90</v>
      </c>
      <c r="I24" s="19">
        <v>82</v>
      </c>
      <c r="J24" s="18">
        <v>74</v>
      </c>
      <c r="K24" s="19">
        <v>75</v>
      </c>
      <c r="L24" s="18">
        <v>84</v>
      </c>
      <c r="M24" s="18">
        <v>73</v>
      </c>
      <c r="N24" s="18">
        <v>75</v>
      </c>
      <c r="O24" s="14">
        <f>TotalCredits(B24:N24,B4:N4)</f>
        <v>160</v>
      </c>
      <c r="P24" s="13">
        <f>AnnualAverage(B24:N24,B4:N4)</f>
        <v>76.15625</v>
      </c>
      <c r="Q24" s="13" t="str">
        <f>FailedModules(B24:N24,B3:N3)</f>
        <v>None</v>
      </c>
      <c r="R24" s="23">
        <f>CreditsToRetake(B24:N24,B4:N4)</f>
        <v>0</v>
      </c>
      <c r="S24" s="29" t="str">
        <f>DeliberationDecision(R24)</f>
        <v>PROGRESS</v>
      </c>
    </row>
    <row r="25" spans="1:19" ht="15" thickBot="1" x14ac:dyDescent="0.4">
      <c r="A25" s="38" t="s">
        <v>31</v>
      </c>
      <c r="B25" s="37" t="str">
        <f>[1]!GetGrade(B24)</f>
        <v>E</v>
      </c>
      <c r="C25" s="37" t="str">
        <f>[1]!GetGrade(C24)</f>
        <v>B</v>
      </c>
      <c r="D25" s="37" t="str">
        <f>[1]!GetGrade(D24)</f>
        <v>C</v>
      </c>
      <c r="E25" s="37" t="str">
        <f>[1]!GetGrade(E24)</f>
        <v>E</v>
      </c>
      <c r="F25" s="37" t="str">
        <f>[1]!GetGrade(F24)</f>
        <v>B</v>
      </c>
      <c r="G25" s="37" t="str">
        <f>[1]!GetGrade(G24)</f>
        <v>B</v>
      </c>
      <c r="H25" s="37" t="str">
        <f>[1]!GetGrade(H24)</f>
        <v>A</v>
      </c>
      <c r="I25" s="37" t="str">
        <f>[1]!GetGrade(I24)</f>
        <v>B</v>
      </c>
      <c r="J25" s="37" t="str">
        <f>[1]!GetGrade(J24)</f>
        <v>C</v>
      </c>
      <c r="K25" s="37" t="str">
        <f>[1]!GetGrade(K24)</f>
        <v>C</v>
      </c>
      <c r="L25" s="37" t="str">
        <f>[1]!GetGrade(L24)</f>
        <v>B</v>
      </c>
      <c r="M25" s="37" t="str">
        <f>[1]!GetGrade(M24)</f>
        <v>C</v>
      </c>
      <c r="N25" s="37" t="str">
        <f>[1]!GetGrade(N24)</f>
        <v>C</v>
      </c>
      <c r="O25" s="15"/>
      <c r="P25" s="16"/>
      <c r="Q25" s="16"/>
      <c r="R25" s="24"/>
      <c r="S25" s="2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BYIRINGIRO VIANNEY</dc:creator>
  <cp:lastModifiedBy>BYIRINGIRO VIANNEY</cp:lastModifiedBy>
  <dcterms:created xsi:type="dcterms:W3CDTF">2024-12-20T09:31:48Z</dcterms:created>
  <dcterms:modified xsi:type="dcterms:W3CDTF">2024-12-24T07:41:09Z</dcterms:modified>
</cp:coreProperties>
</file>